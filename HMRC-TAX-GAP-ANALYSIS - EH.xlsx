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x gap by tax type " sheetId="1" r:id="rId4"/>
  </sheets>
</workbook>
</file>

<file path=xl/sharedStrings.xml><?xml version="1.0" encoding="utf-8"?>
<sst xmlns="http://schemas.openxmlformats.org/spreadsheetml/2006/main" uniqueCount="10">
  <si>
    <t>Tax Type</t>
  </si>
  <si>
    <t>2005-06</t>
  </si>
  <si>
    <t>2024-25</t>
  </si>
  <si>
    <t xml:space="preserve">Change </t>
  </si>
  <si>
    <t>Overall</t>
  </si>
  <si>
    <t>VAT</t>
  </si>
  <si>
    <t>Income Tax NICs, CGT</t>
  </si>
  <si>
    <t xml:space="preserve">Excise Duties </t>
  </si>
  <si>
    <t>2019-20</t>
  </si>
  <si>
    <t xml:space="preserve">Corperation Tax 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</si>
</sst>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  <font>
      <sz val="9"/>
      <color indexed="12"/>
      <name val="Calibri"/>
    </font>
    <font>
      <sz val="10"/>
      <color indexed="12"/>
      <name val="Calibri"/>
    </font>
    <font>
      <sz val="14"/>
      <color indexed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Calibri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Calibri"/>
              </a:rPr>
              <a:t>Tax gap by tax type, 2005-06 vs 2024-25</a:t>
            </a:r>
          </a:p>
        </c:rich>
      </c:tx>
      <c:layout>
        <c:manualLayout>
          <c:xMode val="edge"/>
          <c:yMode val="edge"/>
          <c:x val="0.205593"/>
          <c:y val="0"/>
          <c:w val="0.588814"/>
          <c:h val="0.13241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2381"/>
          <c:y val="0.132417"/>
          <c:w val="0.87119"/>
          <c:h val="0.56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'Tax gap by tax type '!$B$1</c:f>
              <c:strCache>
                <c:ptCount val="1"/>
                <c:pt idx="0">
                  <c:v>2005-06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'Tax gap by tax type '!$A$2:$A$5</c:f>
              <c:strCache>
                <c:ptCount val="4"/>
                <c:pt idx="0">
                  <c:v>Overall</c:v>
                </c:pt>
                <c:pt idx="1">
                  <c:v>VAT</c:v>
                </c:pt>
                <c:pt idx="2">
                  <c:v>Income Tax NICs, CGT</c:v>
                </c:pt>
                <c:pt idx="3">
                  <c:v>Excise Duties </c:v>
                </c:pt>
              </c:strCache>
            </c:strRef>
          </c:cat>
          <c:val>
            <c:numRef>
              <c:f>'Tax gap by tax type '!$B$2:$B$5</c:f>
              <c:numCache>
                <c:ptCount val="4"/>
                <c:pt idx="0">
                  <c:v>7.500000</c:v>
                </c:pt>
                <c:pt idx="1">
                  <c:v>14.100000</c:v>
                </c:pt>
                <c:pt idx="2">
                  <c:v>4.500000</c:v>
                </c:pt>
                <c:pt idx="3">
                  <c:v>8.300000</c:v>
                </c:pt>
              </c:numCache>
            </c:numRef>
          </c:val>
        </c:ser>
        <c:ser>
          <c:idx val="1"/>
          <c:order val="1"/>
          <c:tx>
            <c:strRef>
              <c:f>'Tax gap by tax type '!$C$1</c:f>
              <c:strCache>
                <c:ptCount val="1"/>
                <c:pt idx="0">
                  <c:v>2024-25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'Tax gap by tax type '!$A$2:$A$5</c:f>
              <c:strCache>
                <c:ptCount val="4"/>
                <c:pt idx="0">
                  <c:v>Overall</c:v>
                </c:pt>
                <c:pt idx="1">
                  <c:v>VAT</c:v>
                </c:pt>
                <c:pt idx="2">
                  <c:v>Income Tax NICs, CGT</c:v>
                </c:pt>
                <c:pt idx="3">
                  <c:v>Excise Duties </c:v>
                </c:pt>
              </c:strCache>
            </c:strRef>
          </c:cat>
          <c:val>
            <c:numRef>
              <c:f>'Tax gap by tax type '!$C$2:$C$5</c:f>
              <c:numCache>
                <c:ptCount val="4"/>
                <c:pt idx="0">
                  <c:v>6.400000</c:v>
                </c:pt>
                <c:pt idx="1">
                  <c:v>6.600000</c:v>
                </c:pt>
                <c:pt idx="2">
                  <c:v>4.000000</c:v>
                </c:pt>
                <c:pt idx="3">
                  <c:v>5.500000</c:v>
                </c:pt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1000" u="none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trike="noStrike" sz="1000" u="none">
                    <a:solidFill>
                      <a:srgbClr val="595959"/>
                    </a:solidFill>
                    <a:latin typeface="Calibri"/>
                  </a:rPr>
                  <a:t>Tax Type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1000" u="none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trike="noStrike" sz="1000" u="none">
                    <a:solidFill>
                      <a:srgbClr val="595959"/>
                    </a:solidFill>
                    <a:latin typeface="Calibri"/>
                  </a:rPr>
                  <a:t>Tax Gap (% of theoretical liabillities 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4"/>
        <c:minorUnit val="2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74118"/>
          <c:y val="0.93761"/>
          <c:w val="0.285521"/>
          <c:h val="0.0623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Calibri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Calibri"/>
              </a:rPr>
              <a:t>Corperation Tax Gap 2019-20 vs 2024-25 (%)</a:t>
            </a:r>
          </a:p>
        </c:rich>
      </c:tx>
      <c:layout>
        <c:manualLayout>
          <c:xMode val="edge"/>
          <c:yMode val="edge"/>
          <c:x val="0.128247"/>
          <c:y val="0"/>
          <c:w val="0.743505"/>
          <c:h val="0.16118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78494"/>
          <c:y val="0.161189"/>
          <c:w val="0.816506"/>
          <c:h val="0.476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'Tax gap by tax type '!$A$9</c:f>
              <c:strCache>
                <c:ptCount val="1"/>
                <c:pt idx="0">
                  <c:v>Corperation Tax 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'Tax gap by tax type '!$B$8:$C$8</c:f>
              <c:strCache>
                <c:ptCount val="2"/>
                <c:pt idx="0">
                  <c:v>2019-20</c:v>
                </c:pt>
                <c:pt idx="1">
                  <c:v>2024-25</c:v>
                </c:pt>
              </c:strCache>
            </c:strRef>
          </c:cat>
          <c:val>
            <c:numRef>
              <c:f>'Tax gap by tax type '!$B$9:$C$9</c:f>
              <c:numCache>
                <c:ptCount val="2"/>
                <c:pt idx="0">
                  <c:v>15.600000</c:v>
                </c:pt>
                <c:pt idx="1">
                  <c:v>18.100000</c:v>
                </c:pt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1000" u="none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trike="noStrike" sz="1000" u="none">
                    <a:solidFill>
                      <a:srgbClr val="595959"/>
                    </a:solidFill>
                    <a:latin typeface="Calibri"/>
                  </a:rPr>
                  <a:t>Tax Type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1000" u="none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trike="noStrike" sz="1000" u="none">
                    <a:solidFill>
                      <a:srgbClr val="595959"/>
                    </a:solidFill>
                    <a:latin typeface="Calibri"/>
                  </a:rPr>
                  <a:t>Tax Gap (% of theoretical liabillities 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19181"/>
          <c:y val="0.926769"/>
          <c:w val="0.238008"/>
          <c:h val="0.073230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551605</xdr:colOff>
      <xdr:row>1</xdr:row>
      <xdr:rowOff>59387</xdr:rowOff>
    </xdr:from>
    <xdr:to>
      <xdr:col>12</xdr:col>
      <xdr:colOff>82550</xdr:colOff>
      <xdr:row>14</xdr:row>
      <xdr:rowOff>116801</xdr:rowOff>
    </xdr:to>
    <xdr:graphicFrame>
      <xdr:nvGraphicFramePr>
        <xdr:cNvPr id="2" name="Chart 1"/>
        <xdr:cNvGraphicFramePr/>
      </xdr:nvGraphicFramePr>
      <xdr:xfrm>
        <a:off x="4120305" y="231472"/>
        <a:ext cx="4915745" cy="229452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5</xdr:col>
      <xdr:colOff>110280</xdr:colOff>
      <xdr:row>18</xdr:row>
      <xdr:rowOff>105742</xdr:rowOff>
    </xdr:from>
    <xdr:to>
      <xdr:col>11</xdr:col>
      <xdr:colOff>406400</xdr:colOff>
      <xdr:row>29</xdr:row>
      <xdr:rowOff>79336</xdr:rowOff>
    </xdr:to>
    <xdr:graphicFrame>
      <xdr:nvGraphicFramePr>
        <xdr:cNvPr id="3" name="Chart 2"/>
        <xdr:cNvGraphicFramePr/>
      </xdr:nvGraphicFramePr>
      <xdr:xfrm>
        <a:off x="4352080" y="3203272"/>
        <a:ext cx="4334720" cy="188494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28"/>
  <sheetViews>
    <sheetView workbookViewId="0" showGridLines="0" defaultGridColor="1"/>
  </sheetViews>
  <sheetFormatPr defaultColWidth="8.83333" defaultRowHeight="15" customHeight="1" outlineLevelRow="0" outlineLevelCol="0"/>
  <cols>
    <col min="1" max="1" width="20.3516" style="1" customWidth="1"/>
    <col min="2" max="13" width="8.85156" style="1" customWidth="1"/>
    <col min="1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  <c r="G1" s="3"/>
      <c r="H1" s="3"/>
      <c r="I1" s="3"/>
      <c r="J1" s="3"/>
      <c r="K1" s="3"/>
      <c r="L1" s="3"/>
      <c r="M1" s="3"/>
    </row>
    <row r="2" ht="13.55" customHeight="1">
      <c r="A2" t="s" s="2">
        <v>4</v>
      </c>
      <c r="B2" s="4">
        <v>7.5</v>
      </c>
      <c r="C2" s="4">
        <v>6.4</v>
      </c>
      <c r="D2" s="4">
        <f>C2-B2</f>
        <v>-1.1</v>
      </c>
      <c r="E2" s="3"/>
      <c r="F2" s="3"/>
      <c r="G2" s="3"/>
      <c r="H2" s="3"/>
      <c r="I2" s="3"/>
      <c r="J2" s="3"/>
      <c r="K2" s="3"/>
      <c r="L2" s="3"/>
      <c r="M2" s="3"/>
    </row>
    <row r="3" ht="13.55" customHeight="1">
      <c r="A3" t="s" s="2">
        <v>5</v>
      </c>
      <c r="B3" s="4">
        <v>14.1</v>
      </c>
      <c r="C3" s="4">
        <v>6.6</v>
      </c>
      <c r="D3" s="4">
        <f>C3-B3</f>
        <v>-7.5</v>
      </c>
      <c r="E3" s="3"/>
      <c r="F3" s="3"/>
      <c r="G3" s="3"/>
      <c r="H3" s="3"/>
      <c r="I3" s="3"/>
      <c r="J3" s="3"/>
      <c r="K3" s="3"/>
      <c r="L3" s="3"/>
      <c r="M3" s="3"/>
    </row>
    <row r="4" ht="13.55" customHeight="1">
      <c r="A4" t="s" s="2">
        <v>6</v>
      </c>
      <c r="B4" s="4">
        <v>4.5</v>
      </c>
      <c r="C4" s="4">
        <v>4</v>
      </c>
      <c r="D4" s="4">
        <f>C4-B4</f>
        <v>-0.5</v>
      </c>
      <c r="E4" s="3"/>
      <c r="F4" s="3"/>
      <c r="G4" s="3"/>
      <c r="H4" s="3"/>
      <c r="I4" s="3"/>
      <c r="J4" s="3"/>
      <c r="K4" s="3"/>
      <c r="L4" s="3"/>
      <c r="M4" s="3"/>
    </row>
    <row r="5" ht="13.55" customHeight="1">
      <c r="A5" t="s" s="2">
        <v>7</v>
      </c>
      <c r="B5" s="4">
        <v>8.300000000000001</v>
      </c>
      <c r="C5" s="4">
        <v>5.5</v>
      </c>
      <c r="D5" s="4">
        <f>C5-B5</f>
        <v>-2.8</v>
      </c>
      <c r="E5" s="3"/>
      <c r="F5" s="3"/>
      <c r="G5" s="3"/>
      <c r="H5" s="3"/>
      <c r="I5" s="3"/>
      <c r="J5" s="3"/>
      <c r="K5" s="3"/>
      <c r="L5" s="3"/>
      <c r="M5" s="3"/>
    </row>
    <row r="6" ht="13.5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3.5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3.55" customHeight="1">
      <c r="A8" t="s" s="2">
        <v>0</v>
      </c>
      <c r="B8" t="s" s="2">
        <v>8</v>
      </c>
      <c r="C8" t="s" s="2">
        <v>2</v>
      </c>
      <c r="D8" t="s" s="2">
        <v>3</v>
      </c>
      <c r="E8" s="3"/>
      <c r="F8" s="3"/>
      <c r="G8" s="3"/>
      <c r="H8" s="3"/>
      <c r="I8" s="3"/>
      <c r="J8" s="3"/>
      <c r="K8" s="3"/>
      <c r="L8" s="3"/>
      <c r="M8" s="3"/>
    </row>
    <row r="9" ht="13.55" customHeight="1">
      <c r="A9" t="s" s="2">
        <v>9</v>
      </c>
      <c r="B9" s="4">
        <v>15.6</v>
      </c>
      <c r="C9" s="4">
        <v>18.1</v>
      </c>
      <c r="D9" s="4">
        <f>C9-B9</f>
        <v>2.5</v>
      </c>
      <c r="E9" s="3"/>
      <c r="F9" s="3"/>
      <c r="G9" s="3"/>
      <c r="H9" s="3"/>
      <c r="I9" s="3"/>
      <c r="J9" s="3"/>
      <c r="K9" s="3"/>
      <c r="L9" s="3"/>
      <c r="M9" s="3"/>
    </row>
    <row r="10" ht="13.5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ht="13.5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3.5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3.5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3.5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3.5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3.5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3.5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3.5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3.5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3.5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3.5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3.5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3.5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3.5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3.5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3.5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3.5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3.5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